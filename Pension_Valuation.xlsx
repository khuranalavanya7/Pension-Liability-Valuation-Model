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vanya Code\projects\Pension Valuation\"/>
    </mc:Choice>
  </mc:AlternateContent>
  <xr:revisionPtr revIDLastSave="0" documentId="13_ncr:1_{69997681-3144-4AD2-8175-9C8740979DB0}" xr6:coauthVersionLast="47" xr6:coauthVersionMax="47" xr10:uidLastSave="{00000000-0000-0000-0000-000000000000}"/>
  <bookViews>
    <workbookView xWindow="-108" yWindow="-108" windowWidth="23256" windowHeight="12456" activeTab="1" xr2:uid="{08BBB457-F400-4624-A61E-B0C892FE3B7B}"/>
  </bookViews>
  <sheets>
    <sheet name="Inputs" sheetId="1" r:id="rId1"/>
    <sheet name="Calculations" sheetId="2" r:id="rId2"/>
    <sheet name="Sensitivity" sheetId="3" r:id="rId3"/>
    <sheet name="Charts" sheetId="4" r:id="rId4"/>
    <sheet name="Document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3" l="1"/>
  <c r="E65" i="3"/>
  <c r="D4" i="3"/>
  <c r="C74" i="3"/>
  <c r="C75" i="3"/>
  <c r="C76" i="3"/>
  <c r="C77" i="3"/>
  <c r="C73" i="3"/>
  <c r="B77" i="3"/>
  <c r="B76" i="3"/>
  <c r="B75" i="3"/>
  <c r="B74" i="3"/>
  <c r="B73" i="3"/>
  <c r="E69" i="3"/>
  <c r="E68" i="3"/>
  <c r="E67" i="3"/>
  <c r="E66" i="3"/>
  <c r="D69" i="3"/>
  <c r="C69" i="3"/>
  <c r="B69" i="3"/>
  <c r="D68" i="3"/>
  <c r="C68" i="3"/>
  <c r="B68" i="3"/>
  <c r="D67" i="3"/>
  <c r="C67" i="3"/>
  <c r="B67" i="3"/>
  <c r="D66" i="3"/>
  <c r="C66" i="3"/>
  <c r="B66" i="3"/>
  <c r="C65" i="3"/>
  <c r="B65" i="3"/>
  <c r="E55" i="3"/>
  <c r="E56" i="3"/>
  <c r="E54" i="3"/>
  <c r="D55" i="3"/>
  <c r="D56" i="3"/>
  <c r="D54" i="3"/>
  <c r="D44" i="3"/>
  <c r="D45" i="3"/>
  <c r="D43" i="3"/>
  <c r="C44" i="3"/>
  <c r="C45" i="3"/>
  <c r="C43" i="3"/>
  <c r="G30" i="3"/>
  <c r="G31" i="3"/>
  <c r="G32" i="3"/>
  <c r="G33" i="3"/>
  <c r="G34" i="3"/>
  <c r="F31" i="3"/>
  <c r="F32" i="3"/>
  <c r="F33" i="3"/>
  <c r="F34" i="3"/>
  <c r="F30" i="3"/>
  <c r="B31" i="3"/>
  <c r="B32" i="3"/>
  <c r="B33" i="3"/>
  <c r="B34" i="3"/>
  <c r="B30" i="3"/>
  <c r="F18" i="3"/>
  <c r="F19" i="3"/>
  <c r="F20" i="3"/>
  <c r="F21" i="3"/>
  <c r="F17" i="3"/>
  <c r="E18" i="3"/>
  <c r="E19" i="3"/>
  <c r="E20" i="3"/>
  <c r="E21" i="3"/>
  <c r="E17" i="3"/>
  <c r="C5" i="3"/>
  <c r="D5" i="3" s="1"/>
  <c r="C6" i="3"/>
  <c r="D6" i="3" s="1"/>
  <c r="C7" i="3"/>
  <c r="D7" i="3" s="1"/>
  <c r="C8" i="3"/>
  <c r="D8" i="3" s="1"/>
  <c r="C4" i="3"/>
  <c r="A11" i="2"/>
  <c r="A12" i="2" s="1"/>
  <c r="A13" i="2" s="1"/>
  <c r="C12" i="2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16" i="1"/>
  <c r="C15" i="1"/>
  <c r="C20" i="3" s="1"/>
  <c r="C13" i="2" l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D31" i="3"/>
  <c r="D34" i="3"/>
  <c r="D33" i="3"/>
  <c r="C19" i="3"/>
  <c r="D30" i="3"/>
  <c r="D32" i="3"/>
  <c r="C17" i="1"/>
  <c r="C18" i="1" s="1"/>
  <c r="D11" i="2" s="1"/>
  <c r="D12" i="2" s="1"/>
  <c r="D13" i="2" s="1"/>
  <c r="D14" i="2" s="1"/>
  <c r="C18" i="3"/>
  <c r="A14" i="2"/>
  <c r="E13" i="2"/>
  <c r="F13" i="2" s="1"/>
  <c r="E12" i="2"/>
  <c r="F12" i="2" s="1"/>
  <c r="C21" i="3"/>
  <c r="E11" i="2"/>
  <c r="F11" i="2" s="1"/>
  <c r="C17" i="3"/>
  <c r="G11" i="2" l="1"/>
  <c r="H11" i="2" s="1"/>
  <c r="G13" i="2"/>
  <c r="H13" i="2" s="1"/>
  <c r="G12" i="2"/>
  <c r="H12" i="2" s="1"/>
  <c r="A15" i="2"/>
  <c r="E14" i="2"/>
  <c r="F14" i="2" s="1"/>
  <c r="D15" i="2"/>
  <c r="G14" i="2"/>
  <c r="H14" i="2" l="1"/>
  <c r="A16" i="2"/>
  <c r="E15" i="2"/>
  <c r="F15" i="2" s="1"/>
  <c r="D16" i="2"/>
  <c r="G15" i="2"/>
  <c r="H15" i="2" l="1"/>
  <c r="A17" i="2"/>
  <c r="E16" i="2"/>
  <c r="F16" i="2" s="1"/>
  <c r="G16" i="2"/>
  <c r="D17" i="2"/>
  <c r="H16" i="2" l="1"/>
  <c r="E17" i="2"/>
  <c r="F17" i="2" s="1"/>
  <c r="A18" i="2"/>
  <c r="G17" i="2"/>
  <c r="D18" i="2"/>
  <c r="H17" i="2" l="1"/>
  <c r="E18" i="2"/>
  <c r="F18" i="2" s="1"/>
  <c r="A19" i="2"/>
  <c r="D19" i="2"/>
  <c r="G18" i="2"/>
  <c r="H18" i="2" l="1"/>
  <c r="A20" i="2"/>
  <c r="E19" i="2"/>
  <c r="F19" i="2" s="1"/>
  <c r="G19" i="2"/>
  <c r="D20" i="2"/>
  <c r="H19" i="2" l="1"/>
  <c r="A21" i="2"/>
  <c r="E20" i="2"/>
  <c r="F20" i="2" s="1"/>
  <c r="G20" i="2"/>
  <c r="D21" i="2"/>
  <c r="H20" i="2" l="1"/>
  <c r="E21" i="2"/>
  <c r="F21" i="2" s="1"/>
  <c r="A22" i="2"/>
  <c r="D22" i="2"/>
  <c r="G21" i="2"/>
  <c r="H21" i="2" l="1"/>
  <c r="E22" i="2"/>
  <c r="F22" i="2" s="1"/>
  <c r="A23" i="2"/>
  <c r="D23" i="2"/>
  <c r="G22" i="2"/>
  <c r="H22" i="2" l="1"/>
  <c r="E23" i="2"/>
  <c r="F23" i="2" s="1"/>
  <c r="A24" i="2"/>
  <c r="G23" i="2"/>
  <c r="D24" i="2"/>
  <c r="H23" i="2" l="1"/>
  <c r="E24" i="2"/>
  <c r="F24" i="2" s="1"/>
  <c r="A25" i="2"/>
  <c r="D25" i="2"/>
  <c r="G24" i="2"/>
  <c r="H24" i="2" l="1"/>
  <c r="E25" i="2"/>
  <c r="F25" i="2" s="1"/>
  <c r="A26" i="2"/>
  <c r="G25" i="2"/>
  <c r="D26" i="2"/>
  <c r="H25" i="2" l="1"/>
  <c r="A27" i="2"/>
  <c r="E26" i="2"/>
  <c r="F26" i="2" s="1"/>
  <c r="D27" i="2"/>
  <c r="G26" i="2"/>
  <c r="H26" i="2" l="1"/>
  <c r="E27" i="2"/>
  <c r="F27" i="2" s="1"/>
  <c r="A28" i="2"/>
  <c r="G27" i="2"/>
  <c r="D28" i="2"/>
  <c r="H27" i="2" l="1"/>
  <c r="A29" i="2"/>
  <c r="E28" i="2"/>
  <c r="F28" i="2" s="1"/>
  <c r="D29" i="2"/>
  <c r="G28" i="2"/>
  <c r="H28" i="2" l="1"/>
  <c r="A30" i="2"/>
  <c r="E29" i="2"/>
  <c r="F29" i="2" s="1"/>
  <c r="D30" i="2"/>
  <c r="G29" i="2"/>
  <c r="H29" i="2" l="1"/>
  <c r="E30" i="2"/>
  <c r="F30" i="2" s="1"/>
  <c r="A31" i="2"/>
  <c r="E31" i="2" s="1"/>
  <c r="F31" i="2" s="1"/>
  <c r="D31" i="2"/>
  <c r="G31" i="2" s="1"/>
  <c r="G30" i="2"/>
  <c r="H31" i="2" l="1"/>
  <c r="H30" i="2"/>
  <c r="H32" i="2" l="1"/>
</calcChain>
</file>

<file path=xl/sharedStrings.xml><?xml version="1.0" encoding="utf-8"?>
<sst xmlns="http://schemas.openxmlformats.org/spreadsheetml/2006/main" count="104" uniqueCount="79">
  <si>
    <t>Employee Profile</t>
  </si>
  <si>
    <t>Current Age</t>
  </si>
  <si>
    <t>Retirement Age</t>
  </si>
  <si>
    <t>Life Expectancy (max age)</t>
  </si>
  <si>
    <t xml:space="preserve">Current Annual Salary </t>
  </si>
  <si>
    <t>Annual Salary Growth Rate</t>
  </si>
  <si>
    <t>Discount Rate</t>
  </si>
  <si>
    <t>Pension Accrual Rate</t>
  </si>
  <si>
    <t>Notes</t>
  </si>
  <si>
    <t>Actuarial Assumptions</t>
  </si>
  <si>
    <t>Years to Retirement</t>
  </si>
  <si>
    <t>Years of Pension Payments</t>
  </si>
  <si>
    <t>Final Salary (projected)</t>
  </si>
  <si>
    <t>Annual Pension Benefit</t>
  </si>
  <si>
    <t>Age</t>
  </si>
  <si>
    <t xml:space="preserve">Mortality Rate </t>
  </si>
  <si>
    <t>Survival Probability</t>
  </si>
  <si>
    <t>Pension Payment</t>
  </si>
  <si>
    <t>Years from Now</t>
  </si>
  <si>
    <t>PV Factor</t>
  </si>
  <si>
    <t>Expected Payment</t>
  </si>
  <si>
    <t>PV of Expected Payment</t>
  </si>
  <si>
    <t>(present value factor)</t>
  </si>
  <si>
    <t>Assumption : increases 10% per yr</t>
  </si>
  <si>
    <t>Assuming pension increases with slary growth (cola) cost of living adjustment</t>
  </si>
  <si>
    <t>Discount Rate Sensitivity Analysis</t>
  </si>
  <si>
    <t xml:space="preserve">Total Liability </t>
  </si>
  <si>
    <t>Change from Base</t>
  </si>
  <si>
    <t>% Change</t>
  </si>
  <si>
    <t>Salary Growth Sensitivity Analysis</t>
  </si>
  <si>
    <t>Salary Growth</t>
  </si>
  <si>
    <t>Final Salary</t>
  </si>
  <si>
    <t>Annual Pension</t>
  </si>
  <si>
    <t>Total Liability</t>
  </si>
  <si>
    <t>Retirement Age Sensitivity Analysis</t>
  </si>
  <si>
    <t>Years of Service</t>
  </si>
  <si>
    <t>Mortality Rate Sensitivity Analysis</t>
  </si>
  <si>
    <t>Mortality Change</t>
  </si>
  <si>
    <t>(+)10%</t>
  </si>
  <si>
    <t>(-)10%</t>
  </si>
  <si>
    <t>Accrual Rate Sensitivity Analysis</t>
  </si>
  <si>
    <t>Accrual Rate Adjustment</t>
  </si>
  <si>
    <t>1.35% (-10%)</t>
  </si>
  <si>
    <t>1.65% (+10%)</t>
  </si>
  <si>
    <t>Tornado Chart Data</t>
  </si>
  <si>
    <t>Assumption</t>
  </si>
  <si>
    <t>Low Value</t>
  </si>
  <si>
    <t>Base Value</t>
  </si>
  <si>
    <t>High Value</t>
  </si>
  <si>
    <t>Accrual Rate</t>
  </si>
  <si>
    <t>Mortality Rate</t>
  </si>
  <si>
    <t>Impact on Liability</t>
  </si>
  <si>
    <t>5% (base rate)</t>
  </si>
  <si>
    <t>3% (base growth)</t>
  </si>
  <si>
    <t>Change Low</t>
  </si>
  <si>
    <t>Change High</t>
  </si>
  <si>
    <t>Pension Liability Analysis – Visualizations</t>
  </si>
  <si>
    <t>Employee Profile
Age: 35
Retirement: 65
Salary: $60,000</t>
  </si>
  <si>
    <t>PENSION LIABILITY VALUATION MODEL — DOCUMENTATION</t>
  </si>
  <si>
    <t>Methodology: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</si>
  <si>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Calculate final salary using compound salary growth</t>
    </r>
    <r>
      <rPr>
        <sz val="11"/>
        <color theme="1"/>
        <rFont val="Calibri"/>
        <family val="2"/>
        <scheme val="minor"/>
      </rPr>
      <t xml:space="preserve">
Final Salary = Starting Salary * (1 + Salary Growth Rate) ^ Years to Retirement</t>
    </r>
  </si>
  <si>
    <r>
      <t xml:space="preserve">2. Annual Pension Benefit
</t>
    </r>
    <r>
      <rPr>
        <sz val="11"/>
        <color theme="1"/>
        <rFont val="Calibri"/>
        <family val="2"/>
        <scheme val="minor"/>
      </rPr>
      <t>Benefit = Accrual Rate × Years of Service × Final Salary</t>
    </r>
  </si>
  <si>
    <r>
      <rPr>
        <b/>
        <sz val="11"/>
        <color theme="1"/>
        <rFont val="Calibri"/>
        <family val="2"/>
        <scheme val="minor"/>
      </rPr>
      <t xml:space="preserve">3. Pension Payment Projection
</t>
    </r>
    <r>
      <rPr>
        <sz val="11"/>
        <color theme="1"/>
        <rFont val="Calibri"/>
        <family val="2"/>
        <scheme val="minor"/>
      </rPr>
      <t>Project annual pension from retirement age until assumed maximum age (life expectancy)</t>
    </r>
    <r>
      <rPr>
        <b/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</si>
  <si>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4. Survival Adjustment</t>
    </r>
    <r>
      <rPr>
        <sz val="11"/>
        <color theme="1"/>
        <rFont val="Calibri"/>
        <family val="2"/>
        <scheme val="minor"/>
      </rPr>
      <t xml:space="preserve">
Expected Payment = Pension × Survival Probability
Survival Probability = Previous Survival Probability × (1 – Mortality Rate)</t>
    </r>
  </si>
  <si>
    <r>
      <rPr>
        <b/>
        <sz val="11"/>
        <color theme="1"/>
        <rFont val="Calibri"/>
        <family val="2"/>
        <scheme val="minor"/>
      </rPr>
      <t>5. Discount to Present Value</t>
    </r>
    <r>
      <rPr>
        <sz val="11"/>
        <color theme="1"/>
        <rFont val="Calibri"/>
        <family val="2"/>
        <scheme val="minor"/>
      </rPr>
      <t xml:space="preserve">
PV = Expected Payment ÷ (1 + Discount Rate) ^ Years from Now</t>
    </r>
  </si>
  <si>
    <r>
      <rPr>
        <b/>
        <sz val="11"/>
        <color theme="1"/>
        <rFont val="Calibri"/>
        <family val="2"/>
        <scheme val="minor"/>
      </rPr>
      <t>6. Total Liability</t>
    </r>
    <r>
      <rPr>
        <sz val="11"/>
        <color theme="1"/>
        <rFont val="Calibri"/>
        <family val="2"/>
        <scheme val="minor"/>
      </rPr>
      <t xml:space="preserve">
Pension Liability = SUM of all discounted expected payments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</si>
  <si>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This model calculates the present value of future pension obligations for a defined benefit pension plan.</t>
    </r>
  </si>
  <si>
    <t>Key Assumptions:</t>
  </si>
  <si>
    <r>
      <t xml:space="preserve">1. Mortality: </t>
    </r>
    <r>
      <rPr>
        <sz val="11"/>
        <color theme="1"/>
        <rFont val="Calibri"/>
        <family val="2"/>
        <scheme val="minor"/>
      </rPr>
      <t>Simplified mortality starting at 1% at age 65 and increasing 10% each year.
(Real-world models use SOA tables such as RP-2014 or Pri-2012.)</t>
    </r>
  </si>
  <si>
    <r>
      <t xml:space="preserve">2. Discount Rate:
</t>
    </r>
    <r>
      <rPr>
        <sz val="11"/>
        <color theme="1"/>
        <rFont val="Calibri"/>
        <family val="2"/>
        <scheme val="minor"/>
      </rPr>
      <t>5%, representing long-term expected return on pension assets.</t>
    </r>
  </si>
  <si>
    <r>
      <t xml:space="preserve">3. Salary Growth:
</t>
    </r>
    <r>
      <rPr>
        <sz val="11"/>
        <color theme="1"/>
        <rFont val="Calibri"/>
        <family val="2"/>
        <scheme val="minor"/>
      </rPr>
      <t>3% annual wage growth (normal salary inflation, not COLA).</t>
    </r>
  </si>
  <si>
    <r>
      <t xml:space="preserve">4. Accrual Rate:
</t>
    </r>
    <r>
      <rPr>
        <sz val="11"/>
        <color theme="1"/>
        <rFont val="Calibri"/>
        <family val="2"/>
        <scheme val="minor"/>
      </rPr>
      <t>1.5% per year of service, common corporate pension formula.</t>
    </r>
  </si>
  <si>
    <t>Limitations: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</si>
  <si>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Simplified mortality (real tables are more complex)</t>
    </r>
    <r>
      <rPr>
        <b/>
        <sz val="11"/>
        <color theme="1"/>
        <rFont val="Calibri"/>
        <family val="2"/>
        <scheme val="minor"/>
      </rPr>
      <t xml:space="preserve">
2.</t>
    </r>
    <r>
      <rPr>
        <sz val="11"/>
        <color theme="1"/>
        <rFont val="Calibri"/>
        <family val="2"/>
        <scheme val="minor"/>
      </rPr>
      <t xml:space="preserve"> Single employee (real plans have thousands)
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No consideration of early retirement, disability, or termination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Assumes level pension payments (no COLA adjustments).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Deterministic (doesn't model uncertainty/variability)</t>
    </r>
  </si>
  <si>
    <t>Real World Applications: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</si>
  <si>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Pension Plan Funding valuations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</si>
  <si>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Financial statement reporting (FAS 87/ASC 715)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</si>
  <si>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Risk management (interest rate and longevity risk)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</si>
  <si>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Pension buyouts and settlements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</si>
</sst>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0" fontId="0" fillId="2" borderId="0" xfId="0" applyNumberFormat="1" applyFill="1"/>
    <xf numFmtId="165" fontId="0" fillId="0" borderId="0" xfId="0" applyNumberFormat="1"/>
    <xf numFmtId="9" fontId="0" fillId="0" borderId="0" xfId="1" applyFont="1"/>
    <xf numFmtId="0" fontId="3" fillId="0" borderId="0" xfId="0" applyFont="1"/>
    <xf numFmtId="9" fontId="0" fillId="0" borderId="0" xfId="0" applyNumberFormat="1"/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PV of Pension Benefits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Calculations!$H$10</c:f>
              <c:strCache>
                <c:ptCount val="1"/>
                <c:pt idx="0">
                  <c:v>PV of Expected Payment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Calculations!$A$11:$A$31</c:f>
              <c:numCache>
                <c:formatCode>General</c:formatCod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numCache>
            </c:numRef>
          </c:cat>
          <c:val>
            <c:numRef>
              <c:f>Calculations!$H$11:$H$31</c:f>
              <c:numCache>
                <c:formatCode>"$"#,##0</c:formatCode>
                <c:ptCount val="21"/>
                <c:pt idx="0">
                  <c:v>15163.572540653369</c:v>
                </c:pt>
                <c:pt idx="1">
                  <c:v>14725.995161623083</c:v>
                </c:pt>
                <c:pt idx="2">
                  <c:v>14286.599515514845</c:v>
                </c:pt>
                <c:pt idx="3">
                  <c:v>13844.898677350884</c:v>
                </c:pt>
                <c:pt idx="4">
                  <c:v>13400.420731651435</c:v>
                </c:pt>
                <c:pt idx="5">
                  <c:v>12952.716120829431</c:v>
                </c:pt>
                <c:pt idx="6">
                  <c:v>12501.366354671256</c:v>
                </c:pt>
                <c:pt idx="7">
                  <c:v>12045.994223410209</c:v>
                </c:pt>
                <c:pt idx="8">
                  <c:v>11586.275647940012</c:v>
                </c:pt>
                <c:pt idx="9">
                  <c:v>11121.953281756823</c:v>
                </c:pt>
                <c:pt idx="10">
                  <c:v>10652.851947038291</c:v>
                </c:pt>
                <c:pt idx="11">
                  <c:v>10178.895938059677</c:v>
                </c:pt>
                <c:pt idx="12">
                  <c:v>9700.128154552327</c:v>
                </c:pt>
                <c:pt idx="13">
                  <c:v>9216.730930829237</c:v>
                </c:pt>
                <c:pt idx="14">
                  <c:v>8729.0482985295621</c:v>
                </c:pt>
                <c:pt idx="15">
                  <c:v>8237.609256855867</c:v>
                </c:pt>
                <c:pt idx="16">
                  <c:v>7743.1514202089047</c:v>
                </c:pt>
                <c:pt idx="17">
                  <c:v>7246.6441669355172</c:v>
                </c:pt>
                <c:pt idx="18">
                  <c:v>6749.310125318425</c:v>
                </c:pt>
                <c:pt idx="19">
                  <c:v>6252.6435095363313</c:v>
                </c:pt>
                <c:pt idx="20">
                  <c:v>5758.4234716026231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D-4068-A955-C0B000D4E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48032"/>
        <c:axId val="2096150432"/>
      </c:lineChart>
      <c:catAx>
        <c:axId val="209614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in Retirement (65-85)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50432"/>
        <c:crosses val="autoZero"/>
        <c:auto val="1"/>
        <c:lblAlgn val="ctr"/>
        <c:lblOffset val="100"/>
        <c:noMultiLvlLbl val="0"/>
      </c:catAx>
      <c:valAx>
        <c:axId val="20961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Present Value($)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Sensitivity of Total Liability to Discount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Sensitivity!$B$3</c:f>
              <c:strCache>
                <c:ptCount val="1"/>
                <c:pt idx="0">
                  <c:v>Total Liability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79-4755-BD42-D788D478C518}"/>
              </c:ext>
            </c:extLst>
          </c:dPt>
          <c:dLbls>
            <c:dLbl>
              <c:idx val="0"/>
              <c:layout>
                <c:manualLayout>
                  <c:x val="0"/>
                  <c:y val="2.31481481481481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79-4755-BD42-D788D478C518}"/>
                </c:ext>
              </c:extLst>
            </c:dLbl>
            <c:dLbl>
              <c:idx val="1"/>
              <c:layout>
                <c:manualLayout>
                  <c:x val="0"/>
                  <c:y val="2.3148148148148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79-4755-BD42-D788D478C518}"/>
                </c:ext>
              </c:extLst>
            </c:dLbl>
            <c:dLbl>
              <c:idx val="2"/>
              <c:layout>
                <c:manualLayout>
                  <c:x val="0"/>
                  <c:y val="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79-4755-BD42-D788D478C518}"/>
                </c:ext>
              </c:extLst>
            </c:dLbl>
            <c:dLbl>
              <c:idx val="3"/>
              <c:layout>
                <c:manualLayout>
                  <c:x val="-1.0185067526415994E-16"/>
                  <c:y val="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79-4755-BD42-D788D478C518}"/>
                </c:ext>
              </c:extLst>
            </c:dLbl>
            <c:dLbl>
              <c:idx val="4"/>
              <c:layout>
                <c:manualLayout>
                  <c:x val="0"/>
                  <c:y val="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79-4755-BD42-D788D478C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Sensitivity!$A$4:$A$8</c:f>
              <c:strCache>
                <c:ptCount val="5"/>
                <c:pt idx="0">
                  <c:v>3%</c:v>
                </c:pt>
                <c:pt idx="1">
                  <c:v>4%</c:v>
                </c:pt>
                <c:pt idx="2">
                  <c:v>5% (base rate)</c:v>
                </c:pt>
                <c:pt idx="3">
                  <c:v>6%</c:v>
                </c:pt>
                <c:pt idx="4">
                  <c:v>7%</c:v>
                </c:pt>
              </c:strCache>
            </c:strRef>
          </c:cat>
          <c:val>
            <c:numRef>
              <c:f>Sensitivity!$B$4:$B$8</c:f>
              <c:numCache>
                <c:formatCode>"$"#,##0</c:formatCode>
                <c:ptCount val="5"/>
                <c:pt idx="0">
                  <c:v>467444.42437979812</c:v>
                </c:pt>
                <c:pt idx="1">
                  <c:v>321120.67449820286</c:v>
                </c:pt>
                <c:pt idx="2">
                  <c:v>222095.2294748681</c:v>
                </c:pt>
                <c:pt idx="3">
                  <c:v>154615.51914154686</c:v>
                </c:pt>
                <c:pt idx="4">
                  <c:v>108322.66447368411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79-4755-BD42-D788D478C5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3165568"/>
        <c:axId val="2103165088"/>
      </c:barChart>
      <c:catAx>
        <c:axId val="210316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65088"/>
        <c:crosses val="autoZero"/>
        <c:auto val="1"/>
        <c:lblAlgn val="ctr"/>
        <c:lblOffset val="100"/>
        <c:noMultiLvlLbl val="0"/>
      </c:catAx>
      <c:valAx>
        <c:axId val="210316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Liability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Sensitivity</a:t>
            </a:r>
            <a:r>
              <a:rPr lang="en-US" b="1" baseline="0"/>
              <a:t> of </a:t>
            </a:r>
            <a:r>
              <a:rPr lang="en-US" b="1"/>
              <a:t>Total Liability to Salary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Sensitivity!$D$16</c:f>
              <c:strCache>
                <c:ptCount val="1"/>
                <c:pt idx="0">
                  <c:v>Total Liability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35-4884-97EF-E6CF8E149AFD}"/>
              </c:ext>
            </c:extLst>
          </c:dPt>
          <c:dLbls>
            <c:dLbl>
              <c:idx val="0"/>
              <c:layout>
                <c:manualLayout>
                  <c:x val="-2.3396020351644702E-17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35-4884-97EF-E6CF8E149AFD}"/>
                </c:ext>
              </c:extLst>
            </c:dLbl>
            <c:dLbl>
              <c:idx val="2"/>
              <c:layout>
                <c:manualLayout>
                  <c:x val="0"/>
                  <c:y val="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35-4884-97EF-E6CF8E149AFD}"/>
                </c:ext>
              </c:extLst>
            </c:dLbl>
            <c:dLbl>
              <c:idx val="3"/>
              <c:layout>
                <c:manualLayout>
                  <c:x val="-9.3584081406578808E-17"/>
                  <c:y val="1.85185185185184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35-4884-97EF-E6CF8E149AFD}"/>
                </c:ext>
              </c:extLst>
            </c:dLbl>
            <c:dLbl>
              <c:idx val="4"/>
              <c:layout>
                <c:manualLayout>
                  <c:x val="0"/>
                  <c:y val="1.388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35-4884-97EF-E6CF8E149A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Sensitivity!$A$17:$A$21</c:f>
              <c:strCache>
                <c:ptCount val="5"/>
                <c:pt idx="0">
                  <c:v>1%</c:v>
                </c:pt>
                <c:pt idx="1">
                  <c:v>2%</c:v>
                </c:pt>
                <c:pt idx="2">
                  <c:v>3% (base growth)</c:v>
                </c:pt>
                <c:pt idx="3">
                  <c:v>4%</c:v>
                </c:pt>
                <c:pt idx="4">
                  <c:v>5%</c:v>
                </c:pt>
              </c:strCache>
            </c:strRef>
          </c:cat>
          <c:val>
            <c:numRef>
              <c:f>Sensitivity!$D$17:$D$21</c:f>
              <c:numCache>
                <c:formatCode>"$"#,##0</c:formatCode>
                <c:ptCount val="5"/>
                <c:pt idx="0">
                  <c:v>105340.16440815097</c:v>
                </c:pt>
                <c:pt idx="1">
                  <c:v>152992.14399856579</c:v>
                </c:pt>
                <c:pt idx="2">
                  <c:v>222095.2294748681</c:v>
                </c:pt>
                <c:pt idx="3">
                  <c:v>322271.61956899491</c:v>
                </c:pt>
                <c:pt idx="4">
                  <c:v>467444.42437979806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35-4884-97EF-E6CF8E149A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0811792"/>
        <c:axId val="380810352"/>
      </c:barChart>
      <c:catAx>
        <c:axId val="38081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  <a:r>
                  <a:rPr lang="en-IN" baseline="0"/>
                  <a:t> Growth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10352"/>
        <c:crosses val="autoZero"/>
        <c:auto val="1"/>
        <c:lblAlgn val="ctr"/>
        <c:lblOffset val="100"/>
        <c:noMultiLvlLbl val="0"/>
      </c:catAx>
      <c:valAx>
        <c:axId val="3808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Liability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1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Sensitivity of Total Liability to Retirement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Sensitivity!$E$29</c:f>
              <c:strCache>
                <c:ptCount val="1"/>
                <c:pt idx="0">
                  <c:v>Total Liability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E8-4889-B74B-948208118139}"/>
              </c:ext>
            </c:extLst>
          </c:dPt>
          <c:dLbls>
            <c:dLbl>
              <c:idx val="1"/>
              <c:layout>
                <c:manualLayout>
                  <c:x val="0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E8-4889-B74B-948208118139}"/>
                </c:ext>
              </c:extLst>
            </c:dLbl>
            <c:dLbl>
              <c:idx val="2"/>
              <c:layout>
                <c:manualLayout>
                  <c:x val="0"/>
                  <c:y val="4.62962962962958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E8-4889-B74B-948208118139}"/>
                </c:ext>
              </c:extLst>
            </c:dLbl>
            <c:dLbl>
              <c:idx val="3"/>
              <c:layout>
                <c:manualLayout>
                  <c:x val="0"/>
                  <c:y val="-4.62962962962967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8-4889-B74B-9482081181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Sensitivity!$A$30:$A$34</c:f>
              <c:numCache>
                <c:formatCode>General</c:formatCode>
                <c:ptCount val="5"/>
                <c:pt idx="0">
                  <c:v>63</c:v>
                </c:pt>
                <c:pt idx="1">
                  <c:v>64</c:v>
                </c:pt>
                <c:pt idx="2">
                  <c:v>65</c:v>
                </c:pt>
                <c:pt idx="3">
                  <c:v>66</c:v>
                </c:pt>
                <c:pt idx="4">
                  <c:v>67</c:v>
                </c:pt>
              </c:numCache>
            </c:numRef>
          </c:cat>
          <c:val>
            <c:numRef>
              <c:f>Sensitivity!$E$30:$E$34</c:f>
              <c:numCache>
                <c:formatCode>"$"#,##0</c:formatCode>
                <c:ptCount val="5"/>
                <c:pt idx="0">
                  <c:v>215417.09032862607</c:v>
                </c:pt>
                <c:pt idx="1">
                  <c:v>218860.83292911758</c:v>
                </c:pt>
                <c:pt idx="2">
                  <c:v>222095.2294748681</c:v>
                </c:pt>
                <c:pt idx="3">
                  <c:v>225127.00562325522</c:v>
                </c:pt>
                <c:pt idx="4">
                  <c:v>227962.70676935455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E8-4889-B74B-948208118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013056"/>
        <c:axId val="367014016"/>
      </c:barChart>
      <c:catAx>
        <c:axId val="36701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in Retirement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14016"/>
        <c:crosses val="autoZero"/>
        <c:auto val="1"/>
        <c:lblAlgn val="ctr"/>
        <c:lblOffset val="100"/>
        <c:noMultiLvlLbl val="0"/>
      </c:catAx>
      <c:valAx>
        <c:axId val="3670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Liability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01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Sensitivity of Total Liability to Mortality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Sensitivity!$B$42</c:f>
              <c:strCache>
                <c:ptCount val="1"/>
                <c:pt idx="0">
                  <c:v>Total Liability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51-4E04-8017-AD172D829A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Sensitivity!$A$43:$A$45</c:f>
              <c:strCache>
                <c:ptCount val="3"/>
                <c:pt idx="0">
                  <c:v>(-)10%</c:v>
                </c:pt>
                <c:pt idx="1">
                  <c:v>0%</c:v>
                </c:pt>
                <c:pt idx="2">
                  <c:v>(+)10%</c:v>
                </c:pt>
              </c:strCache>
            </c:strRef>
          </c:cat>
          <c:val>
            <c:numRef>
              <c:f>Sensitivity!$B$43:$B$45</c:f>
              <c:numCache>
                <c:formatCode>"$"#,##0</c:formatCode>
                <c:ptCount val="3"/>
                <c:pt idx="0">
                  <c:v>225790.90035765222</c:v>
                </c:pt>
                <c:pt idx="1">
                  <c:v>222095.2294748681</c:v>
                </c:pt>
                <c:pt idx="2">
                  <c:v>218505.8312076671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51-4E04-8017-AD172D829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784704"/>
        <c:axId val="357785184"/>
      </c:barChart>
      <c:catAx>
        <c:axId val="35778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Mortality</a:t>
                </a:r>
                <a:r>
                  <a:rPr lang="en-IN" baseline="0"/>
                  <a:t>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85184"/>
        <c:crosses val="autoZero"/>
        <c:auto val="1"/>
        <c:lblAlgn val="ctr"/>
        <c:lblOffset val="100"/>
        <c:noMultiLvlLbl val="0"/>
      </c:catAx>
      <c:valAx>
        <c:axId val="3577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Liability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Sensitivity of Total Liability to Accrual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Sensitivity!$C$53</c:f>
              <c:strCache>
                <c:ptCount val="1"/>
                <c:pt idx="0">
                  <c:v>Total Liability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D8-4153-A433-980F9324CFF1}"/>
              </c:ext>
            </c:extLst>
          </c:dPt>
          <c:dLbls>
            <c:dLbl>
              <c:idx val="1"/>
              <c:layout>
                <c:manualLayout>
                  <c:x val="0"/>
                  <c:y val="9.25925925925921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D8-4153-A433-980F9324C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Sensitivity!$A$54:$A$56</c:f>
              <c:strCache>
                <c:ptCount val="3"/>
                <c:pt idx="0">
                  <c:v>1.35% (-10%)</c:v>
                </c:pt>
                <c:pt idx="1">
                  <c:v>1.50%</c:v>
                </c:pt>
                <c:pt idx="2">
                  <c:v>1.65% (+10%)</c:v>
                </c:pt>
              </c:strCache>
            </c:strRef>
          </c:cat>
          <c:val>
            <c:numRef>
              <c:f>Sensitivity!$C$54:$C$56</c:f>
              <c:numCache>
                <c:formatCode>"$"#,##0</c:formatCode>
                <c:ptCount val="3"/>
                <c:pt idx="0">
                  <c:v>199885.70652738132</c:v>
                </c:pt>
                <c:pt idx="1">
                  <c:v>222095.2294748681</c:v>
                </c:pt>
                <c:pt idx="2">
                  <c:v>244304.75242235497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8-4153-A433-980F9324C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958336"/>
        <c:axId val="343959296"/>
      </c:barChart>
      <c:catAx>
        <c:axId val="34395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Accrual</a:t>
                </a:r>
                <a:r>
                  <a:rPr lang="en-IN" baseline="0"/>
                  <a:t> Rate Adjustment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59296"/>
        <c:crosses val="autoZero"/>
        <c:auto val="1"/>
        <c:lblAlgn val="ctr"/>
        <c:lblOffset val="100"/>
        <c:noMultiLvlLbl val="0"/>
      </c:catAx>
      <c:valAx>
        <c:axId val="3439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Liability ($)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5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chemeClr val="bg1">
                    <a:alpha val="67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chemeClr val="bg1">
                    <a:alpha val="67000"/>
                  </a:schemeClr>
                </a:solidFill>
              </a:rPr>
              <a:t>Tornado Chart - Liability Sensitivity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chemeClr val="bg1">
                  <a:alpha val="67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Sensitivity!$B$72</c:f>
              <c:strCache>
                <c:ptCount val="1"/>
                <c:pt idx="0">
                  <c:v>Change 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Sensitivity!$A$73:$A$77</c:f>
              <c:strCache>
                <c:ptCount val="5"/>
                <c:pt idx="0">
                  <c:v>Discount Rate</c:v>
                </c:pt>
                <c:pt idx="1">
                  <c:v>Salary Growth</c:v>
                </c:pt>
                <c:pt idx="2">
                  <c:v>Accrual Rate</c:v>
                </c:pt>
                <c:pt idx="3">
                  <c:v>Retirement Age</c:v>
                </c:pt>
                <c:pt idx="4">
                  <c:v>Mortality Rate</c:v>
                </c:pt>
              </c:strCache>
            </c:strRef>
          </c:cat>
          <c:val>
            <c:numRef>
              <c:f>Sensitivity!$B$73:$B$77</c:f>
              <c:numCache>
                <c:formatCode>"$"#,##0</c:formatCode>
                <c:ptCount val="5"/>
                <c:pt idx="0">
                  <c:v>-113772.56500118399</c:v>
                </c:pt>
                <c:pt idx="1">
                  <c:v>-116755.06506671713</c:v>
                </c:pt>
                <c:pt idx="2">
                  <c:v>-22209.522947486781</c:v>
                </c:pt>
                <c:pt idx="3">
                  <c:v>-6678.1391462420288</c:v>
                </c:pt>
                <c:pt idx="4">
                  <c:v>-3589.3982672010025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1-4E95-BA6C-B5657BF046A8}"/>
            </c:ext>
          </c:extLst>
        </c:ser>
        <c:ser>
          <c:idx val="1"/>
          <c:order val="1"/>
          <c:tx>
            <c:strRef>
              <c:f>Sensitivity!$C$72</c:f>
              <c:strCache>
                <c:ptCount val="1"/>
                <c:pt idx="0">
                  <c:v>Change High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Sensitivity!$A$73:$A$77</c:f>
              <c:strCache>
                <c:ptCount val="5"/>
                <c:pt idx="0">
                  <c:v>Discount Rate</c:v>
                </c:pt>
                <c:pt idx="1">
                  <c:v>Salary Growth</c:v>
                </c:pt>
                <c:pt idx="2">
                  <c:v>Accrual Rate</c:v>
                </c:pt>
                <c:pt idx="3">
                  <c:v>Retirement Age</c:v>
                </c:pt>
                <c:pt idx="4">
                  <c:v>Mortality Rate</c:v>
                </c:pt>
              </c:strCache>
            </c:strRef>
          </c:cat>
          <c:val>
            <c:numRef>
              <c:f>Sensitivity!$C$73:$C$77</c:f>
              <c:numCache>
                <c:formatCode>"$"#,##0</c:formatCode>
                <c:ptCount val="5"/>
                <c:pt idx="0">
                  <c:v>245349.19490493002</c:v>
                </c:pt>
                <c:pt idx="1">
                  <c:v>245349.19490492996</c:v>
                </c:pt>
                <c:pt idx="2">
                  <c:v>22209.522947486868</c:v>
                </c:pt>
                <c:pt idx="3">
                  <c:v>5867.4772944864526</c:v>
                </c:pt>
                <c:pt idx="4">
                  <c:v>3695.6708827841212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1-4E95-BA6C-B5657BF0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679488"/>
        <c:axId val="123674688"/>
      </c:barChart>
      <c:catAx>
        <c:axId val="123679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4688"/>
        <c:crosses val="autoZero"/>
        <c:auto val="1"/>
        <c:lblAlgn val="ctr"/>
        <c:lblOffset val="100"/>
        <c:noMultiLvlLbl val="0"/>
      </c:catAx>
      <c:valAx>
        <c:axId val="1236746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125730</xdr:rowOff>
    </xdr:from>
    <xdr:to>
      <xdr:col>11</xdr:col>
      <xdr:colOff>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42379-EDCD-94E5-F47B-4E50EF388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24</xdr:row>
      <xdr:rowOff>11430</xdr:rowOff>
    </xdr:from>
    <xdr:to>
      <xdr:col>8</xdr:col>
      <xdr:colOff>335280</xdr:colOff>
      <xdr:row>39</xdr:row>
      <xdr:rowOff>11430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1016560-ECA2-CA74-49A3-970385DE6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365760</xdr:colOff>
      <xdr:row>24</xdr:row>
      <xdr:rowOff>19050</xdr:rowOff>
    </xdr:from>
    <xdr:to>
      <xdr:col>16</xdr:col>
      <xdr:colOff>464820</xdr:colOff>
      <xdr:row>39</xdr:row>
      <xdr:rowOff>19050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D0D182C-CCC9-B2DE-4FAD-F93FF6223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495300</xdr:colOff>
      <xdr:row>24</xdr:row>
      <xdr:rowOff>11430</xdr:rowOff>
    </xdr:from>
    <xdr:to>
      <xdr:col>24</xdr:col>
      <xdr:colOff>190500</xdr:colOff>
      <xdr:row>39</xdr:row>
      <xdr:rowOff>11430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F96B529-CAD6-4A2D-28CA-B06A94750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22860</xdr:colOff>
      <xdr:row>43</xdr:row>
      <xdr:rowOff>80010</xdr:rowOff>
    </xdr:from>
    <xdr:to>
      <xdr:col>11</xdr:col>
      <xdr:colOff>327660</xdr:colOff>
      <xdr:row>58</xdr:row>
      <xdr:rowOff>80010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11AAE7C4-584C-3086-55AD-D4BF2256A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243840</xdr:colOff>
      <xdr:row>43</xdr:row>
      <xdr:rowOff>102870</xdr:rowOff>
    </xdr:from>
    <xdr:to>
      <xdr:col>19</xdr:col>
      <xdr:colOff>548640</xdr:colOff>
      <xdr:row>58</xdr:row>
      <xdr:rowOff>102870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7503B1A8-769F-9781-F553-4B6F5AF42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129540</xdr:colOff>
      <xdr:row>4</xdr:row>
      <xdr:rowOff>45720</xdr:rowOff>
    </xdr:from>
    <xdr:to>
      <xdr:col>20</xdr:col>
      <xdr:colOff>129540</xdr:colOff>
      <xdr:row>19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196CBE-A85F-4807-97BD-F7F0509A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33D9-07AC-4004-9458-F12C8D44795F}">
  <dimension ref="B2:C18"/>
  <sheetViews>
    <sheetView workbookViewId="0">
      <selection activeCell="E23" sqref="E23"/>
    </sheetView>
  </sheetViews>
  <sheetFormatPr defaultRowHeight="14.4" x14ac:dyDescent="0.3"/>
  <cols>
    <col min="2" max="2" width="23" bestFit="1" customWidth="1"/>
    <col min="3" max="3" width="11" bestFit="1" customWidth="1"/>
  </cols>
  <sheetData>
    <row r="2" spans="2:3" x14ac:dyDescent="0.3">
      <c r="B2" s="1" t="s">
        <v>0</v>
      </c>
    </row>
    <row r="3" spans="2:3" x14ac:dyDescent="0.3">
      <c r="B3" t="s">
        <v>1</v>
      </c>
      <c r="C3" s="5">
        <v>35</v>
      </c>
    </row>
    <row r="4" spans="2:3" x14ac:dyDescent="0.3">
      <c r="B4" t="s">
        <v>2</v>
      </c>
      <c r="C4" s="5">
        <v>65</v>
      </c>
    </row>
    <row r="5" spans="2:3" x14ac:dyDescent="0.3">
      <c r="B5" t="s">
        <v>3</v>
      </c>
      <c r="C5" s="5">
        <v>85</v>
      </c>
    </row>
    <row r="6" spans="2:3" x14ac:dyDescent="0.3">
      <c r="B6" t="s">
        <v>4</v>
      </c>
      <c r="C6" s="6">
        <v>60000</v>
      </c>
    </row>
    <row r="8" spans="2:3" x14ac:dyDescent="0.3">
      <c r="B8" s="1" t="s">
        <v>9</v>
      </c>
    </row>
    <row r="9" spans="2:3" x14ac:dyDescent="0.3">
      <c r="B9" t="s">
        <v>5</v>
      </c>
      <c r="C9" s="7">
        <v>0.03</v>
      </c>
    </row>
    <row r="10" spans="2:3" x14ac:dyDescent="0.3">
      <c r="B10" t="s">
        <v>6</v>
      </c>
      <c r="C10" s="7">
        <v>0.05</v>
      </c>
    </row>
    <row r="11" spans="2:3" x14ac:dyDescent="0.3">
      <c r="B11" t="s">
        <v>7</v>
      </c>
      <c r="C11" s="7">
        <v>1.4999999999999999E-2</v>
      </c>
    </row>
    <row r="12" spans="2:3" x14ac:dyDescent="0.3">
      <c r="B12" s="1" t="s">
        <v>8</v>
      </c>
    </row>
    <row r="15" spans="2:3" x14ac:dyDescent="0.3">
      <c r="B15" t="s">
        <v>10</v>
      </c>
      <c r="C15">
        <f>C4-C3</f>
        <v>30</v>
      </c>
    </row>
    <row r="16" spans="2:3" x14ac:dyDescent="0.3">
      <c r="B16" t="s">
        <v>11</v>
      </c>
      <c r="C16">
        <f>C5-C4</f>
        <v>20</v>
      </c>
    </row>
    <row r="17" spans="2:3" x14ac:dyDescent="0.3">
      <c r="B17" t="s">
        <v>12</v>
      </c>
      <c r="C17" s="4">
        <f>C6*(1+C9)^C15</f>
        <v>145635.74827137953</v>
      </c>
    </row>
    <row r="18" spans="2:3" x14ac:dyDescent="0.3">
      <c r="B18" t="s">
        <v>13</v>
      </c>
      <c r="C18" s="4">
        <f>C11*C17*C15</f>
        <v>65536.086722120788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EB5C-3709-4201-8F69-B42AE2D06AEA}">
  <dimension ref="A8:H32"/>
  <sheetViews>
    <sheetView tabSelected="1" topLeftCell="A11" workbookViewId="0">
      <selection activeCell="K22" sqref="K22"/>
    </sheetView>
  </sheetViews>
  <sheetFormatPr defaultRowHeight="14.4" x14ac:dyDescent="0.3"/>
  <cols>
    <col min="1" max="1" width="4" bestFit="1" customWidth="1"/>
    <col min="2" max="2" width="13.33203125" bestFit="1" customWidth="1"/>
    <col min="3" max="3" width="17.109375" customWidth="1"/>
    <col min="4" max="4" width="15.6640625" customWidth="1"/>
    <col min="5" max="5" width="14.33203125" bestFit="1" customWidth="1"/>
    <col min="6" max="6" width="10.6640625" customWidth="1"/>
    <col min="7" max="7" width="16.109375" bestFit="1" customWidth="1"/>
    <col min="8" max="8" width="21" bestFit="1" customWidth="1"/>
  </cols>
  <sheetData>
    <row r="8" spans="1:8" x14ac:dyDescent="0.3">
      <c r="D8" t="s">
        <v>24</v>
      </c>
    </row>
    <row r="9" spans="1:8" x14ac:dyDescent="0.3">
      <c r="B9" t="s">
        <v>23</v>
      </c>
      <c r="F9" t="s">
        <v>22</v>
      </c>
    </row>
    <row r="10" spans="1:8" x14ac:dyDescent="0.3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</row>
    <row r="11" spans="1:8" x14ac:dyDescent="0.3">
      <c r="A11">
        <f>Inputs!$C$4</f>
        <v>65</v>
      </c>
      <c r="B11" s="3">
        <v>0.01</v>
      </c>
      <c r="C11">
        <v>1</v>
      </c>
      <c r="D11" s="4">
        <f>Inputs!$C$18</f>
        <v>65536.086722120788</v>
      </c>
      <c r="E11">
        <f>A11- Inputs!$C$3</f>
        <v>30</v>
      </c>
      <c r="F11" s="8">
        <f>1/(1+ Inputs!$C$10)^E11</f>
        <v>0.23137744865585813</v>
      </c>
      <c r="G11" s="4">
        <f>D11*C11</f>
        <v>65536.086722120788</v>
      </c>
      <c r="H11" s="4">
        <f>G11*F11</f>
        <v>15163.572540653369</v>
      </c>
    </row>
    <row r="12" spans="1:8" x14ac:dyDescent="0.3">
      <c r="A12">
        <f>A11+1</f>
        <v>66</v>
      </c>
      <c r="B12" s="3">
        <f>B11*1.1</f>
        <v>1.1000000000000001E-2</v>
      </c>
      <c r="C12">
        <f>C11*(1-B11)</f>
        <v>0.99</v>
      </c>
      <c r="D12" s="4">
        <f>D11*(1+Inputs!$C$9)</f>
        <v>67502.169323784416</v>
      </c>
      <c r="E12">
        <f>A12- Inputs!$C$3</f>
        <v>31</v>
      </c>
      <c r="F12">
        <f>1/(1+ Inputs!$C$10)^E12</f>
        <v>0.220359474910341</v>
      </c>
      <c r="G12" s="4">
        <f>D12*C12</f>
        <v>66827.147630546577</v>
      </c>
      <c r="H12" s="4">
        <f>G12*F12</f>
        <v>14725.995161623083</v>
      </c>
    </row>
    <row r="13" spans="1:8" x14ac:dyDescent="0.3">
      <c r="A13">
        <f t="shared" ref="A13:A31" si="0">A12+1</f>
        <v>67</v>
      </c>
      <c r="B13" s="3">
        <f t="shared" ref="B13:B31" si="1">B12*1.1</f>
        <v>1.2100000000000001E-2</v>
      </c>
      <c r="C13">
        <f t="shared" ref="C13:C31" si="2">C12*(1-B12)</f>
        <v>0.97911000000000004</v>
      </c>
      <c r="D13" s="4">
        <f>D12*(1+Inputs!$C$9)</f>
        <v>69527.234403497947</v>
      </c>
      <c r="E13">
        <f>A13- Inputs!$C$3</f>
        <v>32</v>
      </c>
      <c r="F13">
        <f>1/(1+ Inputs!$C$10)^E13</f>
        <v>0.20986616658127716</v>
      </c>
      <c r="G13" s="4">
        <f t="shared" ref="G13:G31" si="3">D13*C13</f>
        <v>68074.810476808882</v>
      </c>
      <c r="H13" s="4">
        <f t="shared" ref="H13:H31" si="4">G13*F13</f>
        <v>14286.599515514845</v>
      </c>
    </row>
    <row r="14" spans="1:8" x14ac:dyDescent="0.3">
      <c r="A14">
        <f t="shared" si="0"/>
        <v>68</v>
      </c>
      <c r="B14" s="3">
        <f t="shared" si="1"/>
        <v>1.3310000000000002E-2</v>
      </c>
      <c r="C14">
        <f t="shared" si="2"/>
        <v>0.96726276900000008</v>
      </c>
      <c r="D14" s="4">
        <f>D13*(1+Inputs!$C$9)</f>
        <v>71613.051435602887</v>
      </c>
      <c r="E14">
        <f>A14- Inputs!$C$3</f>
        <v>33</v>
      </c>
      <c r="F14">
        <f>1/(1+ Inputs!$C$10)^E14</f>
        <v>0.19987253960121634</v>
      </c>
      <c r="G14" s="4">
        <f t="shared" si="3"/>
        <v>69268.638428140679</v>
      </c>
      <c r="H14" s="4">
        <f t="shared" si="4"/>
        <v>13844.898677350884</v>
      </c>
    </row>
    <row r="15" spans="1:8" x14ac:dyDescent="0.3">
      <c r="A15">
        <f t="shared" si="0"/>
        <v>69</v>
      </c>
      <c r="B15" s="3">
        <f t="shared" si="1"/>
        <v>1.4641000000000003E-2</v>
      </c>
      <c r="C15">
        <f t="shared" si="2"/>
        <v>0.95438850154461008</v>
      </c>
      <c r="D15" s="4">
        <f>D14*(1+Inputs!$C$9)</f>
        <v>73761.442978670981</v>
      </c>
      <c r="E15">
        <f>A15- Inputs!$C$3</f>
        <v>34</v>
      </c>
      <c r="F15">
        <f>1/(1+ Inputs!$C$10)^E15</f>
        <v>0.19035479962020604</v>
      </c>
      <c r="G15" s="4">
        <f t="shared" si="3"/>
        <v>70397.073036182002</v>
      </c>
      <c r="H15" s="4">
        <f t="shared" si="4"/>
        <v>13400.420731651435</v>
      </c>
    </row>
    <row r="16" spans="1:8" x14ac:dyDescent="0.3">
      <c r="A16">
        <f t="shared" si="0"/>
        <v>70</v>
      </c>
      <c r="B16" s="3">
        <f t="shared" si="1"/>
        <v>1.6105100000000004E-2</v>
      </c>
      <c r="C16">
        <f t="shared" si="2"/>
        <v>0.94041529949349545</v>
      </c>
      <c r="D16" s="4">
        <f>D15*(1+Inputs!$C$9)</f>
        <v>75974.286268031108</v>
      </c>
      <c r="E16">
        <f>A16- Inputs!$C$3</f>
        <v>35</v>
      </c>
      <c r="F16">
        <f>1/(1+ Inputs!$C$10)^E16</f>
        <v>0.18129028535257716</v>
      </c>
      <c r="G16" s="4">
        <f t="shared" si="3"/>
        <v>71447.381174555034</v>
      </c>
      <c r="H16" s="4">
        <f t="shared" si="4"/>
        <v>12952.716120829431</v>
      </c>
    </row>
    <row r="17" spans="1:8" x14ac:dyDescent="0.3">
      <c r="A17">
        <f t="shared" si="0"/>
        <v>71</v>
      </c>
      <c r="B17" s="3">
        <f t="shared" si="1"/>
        <v>1.7715610000000007E-2</v>
      </c>
      <c r="C17">
        <f t="shared" si="2"/>
        <v>0.92526981705362277</v>
      </c>
      <c r="D17" s="4">
        <f>D16*(1+Inputs!$C$9)</f>
        <v>78253.514856072041</v>
      </c>
      <c r="E17">
        <f>A17- Inputs!$C$3</f>
        <v>36</v>
      </c>
      <c r="F17">
        <f>1/(1+ Inputs!$C$10)^E17</f>
        <v>0.17265741462150208</v>
      </c>
      <c r="G17" s="4">
        <f t="shared" si="3"/>
        <v>72405.615374680725</v>
      </c>
      <c r="H17" s="4">
        <f t="shared" si="4"/>
        <v>12501.366354671256</v>
      </c>
    </row>
    <row r="18" spans="1:8" x14ac:dyDescent="0.3">
      <c r="A18">
        <f t="shared" si="0"/>
        <v>72</v>
      </c>
      <c r="B18" s="3">
        <f t="shared" si="1"/>
        <v>1.9487171000000008E-2</v>
      </c>
      <c r="C18">
        <f t="shared" si="2"/>
        <v>0.90887809782992945</v>
      </c>
      <c r="D18" s="4">
        <f>D17*(1+Inputs!$C$9)</f>
        <v>80601.120301754199</v>
      </c>
      <c r="E18">
        <f>A18- Inputs!$C$3</f>
        <v>37</v>
      </c>
      <c r="F18">
        <f>1/(1+ Inputs!$C$10)^E18</f>
        <v>0.1644356329728591</v>
      </c>
      <c r="G18" s="4">
        <f t="shared" si="3"/>
        <v>73256.59290281967</v>
      </c>
      <c r="H18" s="4">
        <f t="shared" si="4"/>
        <v>12045.994223410209</v>
      </c>
    </row>
    <row r="19" spans="1:8" x14ac:dyDescent="0.3">
      <c r="A19">
        <f t="shared" si="0"/>
        <v>73</v>
      </c>
      <c r="B19" s="3">
        <f t="shared" si="1"/>
        <v>2.1435888100000012E-2</v>
      </c>
      <c r="C19">
        <f t="shared" si="2"/>
        <v>0.89116663491936288</v>
      </c>
      <c r="D19" s="4">
        <f>D18*(1+Inputs!$C$9)</f>
        <v>83019.153910806825</v>
      </c>
      <c r="E19">
        <f>A19- Inputs!$C$3</f>
        <v>38</v>
      </c>
      <c r="F19">
        <f>1/(1+ Inputs!$C$10)^E19</f>
        <v>0.15660536473605632</v>
      </c>
      <c r="G19" s="4">
        <f t="shared" si="3"/>
        <v>73983.900024546383</v>
      </c>
      <c r="H19" s="4">
        <f t="shared" si="4"/>
        <v>11586.275647940012</v>
      </c>
    </row>
    <row r="20" spans="1:8" x14ac:dyDescent="0.3">
      <c r="A20">
        <f t="shared" si="0"/>
        <v>74</v>
      </c>
      <c r="B20" s="3">
        <f t="shared" si="1"/>
        <v>2.3579476910000015E-2</v>
      </c>
      <c r="C20">
        <f t="shared" si="2"/>
        <v>0.87206368665477785</v>
      </c>
      <c r="D20" s="4">
        <f>D19*(1+Inputs!$C$9)</f>
        <v>85509.728528131032</v>
      </c>
      <c r="E20">
        <f>A20- Inputs!$C$3</f>
        <v>39</v>
      </c>
      <c r="F20">
        <f>1/(1+ Inputs!$C$10)^E20</f>
        <v>0.14914796641529171</v>
      </c>
      <c r="G20" s="4">
        <f t="shared" si="3"/>
        <v>74569.929105091185</v>
      </c>
      <c r="H20" s="4">
        <f t="shared" si="4"/>
        <v>11121.953281756823</v>
      </c>
    </row>
    <row r="21" spans="1:8" x14ac:dyDescent="0.3">
      <c r="A21">
        <f t="shared" si="0"/>
        <v>75</v>
      </c>
      <c r="B21" s="3">
        <f t="shared" si="1"/>
        <v>2.5937424601000018E-2</v>
      </c>
      <c r="C21">
        <f t="shared" si="2"/>
        <v>0.85150088109125199</v>
      </c>
      <c r="D21" s="4">
        <f>D20*(1+Inputs!$C$9)</f>
        <v>88075.020383974959</v>
      </c>
      <c r="E21">
        <f>A21- Inputs!$C$3</f>
        <v>40</v>
      </c>
      <c r="F21">
        <f>1/(1+ Inputs!$C$10)^E21</f>
        <v>0.14204568230027784</v>
      </c>
      <c r="G21" s="4">
        <f t="shared" si="3"/>
        <v>74995.957459084661</v>
      </c>
      <c r="H21" s="4">
        <f t="shared" si="4"/>
        <v>10652.851947038291</v>
      </c>
    </row>
    <row r="22" spans="1:8" x14ac:dyDescent="0.3">
      <c r="A22">
        <f t="shared" si="0"/>
        <v>76</v>
      </c>
      <c r="B22" s="3">
        <f t="shared" si="1"/>
        <v>2.8531167061100021E-2</v>
      </c>
      <c r="C22">
        <f t="shared" si="2"/>
        <v>0.82941514119026261</v>
      </c>
      <c r="D22" s="4">
        <f>D21*(1+Inputs!$C$9)</f>
        <v>90717.270995494211</v>
      </c>
      <c r="E22">
        <f>A22- Inputs!$C$3</f>
        <v>41</v>
      </c>
      <c r="F22">
        <f>1/(1+ Inputs!$C$10)^E22</f>
        <v>0.13528160219074079</v>
      </c>
      <c r="G22" s="4">
        <f t="shared" si="3"/>
        <v>75242.278131123152</v>
      </c>
      <c r="H22" s="4">
        <f t="shared" si="4"/>
        <v>10178.895938059677</v>
      </c>
    </row>
    <row r="23" spans="1:8" x14ac:dyDescent="0.3">
      <c r="A23">
        <f t="shared" si="0"/>
        <v>77</v>
      </c>
      <c r="B23" s="3">
        <f t="shared" si="1"/>
        <v>3.1384283767210024E-2</v>
      </c>
      <c r="C23">
        <f t="shared" si="2"/>
        <v>0.80575095923395734</v>
      </c>
      <c r="D23" s="4">
        <f>D22*(1+Inputs!$C$9)</f>
        <v>93438.789125359035</v>
      </c>
      <c r="E23">
        <f>A23- Inputs!$C$3</f>
        <v>42</v>
      </c>
      <c r="F23" s="8">
        <f>1/(1+ Inputs!$C$10)^E23</f>
        <v>0.12883962113403885</v>
      </c>
      <c r="G23" s="4">
        <f t="shared" si="3"/>
        <v>75288.393967417505</v>
      </c>
      <c r="H23" s="4">
        <f t="shared" si="4"/>
        <v>9700.128154552327</v>
      </c>
    </row>
    <row r="24" spans="1:8" x14ac:dyDescent="0.3">
      <c r="A24">
        <f t="shared" si="0"/>
        <v>78</v>
      </c>
      <c r="B24" s="3">
        <f t="shared" si="1"/>
        <v>3.4522712143931031E-2</v>
      </c>
      <c r="C24">
        <f t="shared" si="2"/>
        <v>0.78046304248365717</v>
      </c>
      <c r="D24" s="4">
        <f>D23*(1+Inputs!$C$9)</f>
        <v>96241.952799119812</v>
      </c>
      <c r="E24">
        <f>A24- Inputs!$C$3</f>
        <v>43</v>
      </c>
      <c r="F24">
        <f>1/(1+ Inputs!$C$10)^E24</f>
        <v>0.12270440108003698</v>
      </c>
      <c r="G24" s="4">
        <f t="shared" si="3"/>
        <v>75113.287296169568</v>
      </c>
      <c r="H24" s="4">
        <f t="shared" si="4"/>
        <v>9216.730930829237</v>
      </c>
    </row>
    <row r="25" spans="1:8" x14ac:dyDescent="0.3">
      <c r="A25">
        <f t="shared" si="0"/>
        <v>79</v>
      </c>
      <c r="B25" s="3">
        <f t="shared" si="1"/>
        <v>3.7974983358324138E-2</v>
      </c>
      <c r="C25">
        <f t="shared" si="2"/>
        <v>0.75351934152901734</v>
      </c>
      <c r="D25" s="4">
        <f>D24*(1+Inputs!$C$9)</f>
        <v>99129.21138309341</v>
      </c>
      <c r="E25">
        <f>A25- Inputs!$C$3</f>
        <v>44</v>
      </c>
      <c r="F25">
        <f>1/(1+ Inputs!$C$10)^E25</f>
        <v>0.11686133436193999</v>
      </c>
      <c r="G25" s="4">
        <f t="shared" si="3"/>
        <v>74695.778087679311</v>
      </c>
      <c r="H25" s="4">
        <f t="shared" si="4"/>
        <v>8729.0482985295621</v>
      </c>
    </row>
    <row r="26" spans="1:8" x14ac:dyDescent="0.3">
      <c r="A26">
        <f t="shared" si="0"/>
        <v>80</v>
      </c>
      <c r="B26" s="3">
        <f t="shared" si="1"/>
        <v>4.1772481694156552E-2</v>
      </c>
      <c r="C26">
        <f t="shared" si="2"/>
        <v>0.72490445707427753</v>
      </c>
      <c r="D26" s="4">
        <f>D25*(1+Inputs!$C$9)</f>
        <v>102103.08772458622</v>
      </c>
      <c r="E26">
        <f>A26- Inputs!$C$3</f>
        <v>45</v>
      </c>
      <c r="F26">
        <f>1/(1+ Inputs!$C$10)^E26</f>
        <v>0.1112965089161333</v>
      </c>
      <c r="G26" s="4">
        <f t="shared" si="3"/>
        <v>74014.983372598508</v>
      </c>
      <c r="H26" s="4">
        <f t="shared" si="4"/>
        <v>8237.609256855867</v>
      </c>
    </row>
    <row r="27" spans="1:8" x14ac:dyDescent="0.3">
      <c r="A27">
        <f t="shared" si="0"/>
        <v>81</v>
      </c>
      <c r="B27" s="3">
        <f t="shared" si="1"/>
        <v>4.5949729863572208E-2</v>
      </c>
      <c r="C27">
        <f t="shared" si="2"/>
        <v>0.69462339891112979</v>
      </c>
      <c r="D27" s="4">
        <f>D26*(1+Inputs!$C$9)</f>
        <v>105166.18035632381</v>
      </c>
      <c r="E27">
        <f>A27- Inputs!$C$3</f>
        <v>46</v>
      </c>
      <c r="F27">
        <f>1/(1+ Inputs!$C$10)^E27</f>
        <v>0.10599667515822221</v>
      </c>
      <c r="G27" s="4">
        <f t="shared" si="3"/>
        <v>73050.88964961053</v>
      </c>
      <c r="H27" s="4">
        <f t="shared" si="4"/>
        <v>7743.1514202089047</v>
      </c>
    </row>
    <row r="28" spans="1:8" x14ac:dyDescent="0.3">
      <c r="A28">
        <f t="shared" si="0"/>
        <v>82</v>
      </c>
      <c r="B28" s="3">
        <f t="shared" si="1"/>
        <v>5.0544702849929436E-2</v>
      </c>
      <c r="C28">
        <f t="shared" si="2"/>
        <v>0.66270564137424692</v>
      </c>
      <c r="D28" s="4">
        <f>D27*(1+Inputs!$C$9)</f>
        <v>108321.16576701352</v>
      </c>
      <c r="E28">
        <f>A28- Inputs!$C$3</f>
        <v>47</v>
      </c>
      <c r="F28">
        <f>1/(1+ Inputs!$C$10)^E28</f>
        <v>0.10094921443640208</v>
      </c>
      <c r="G28" s="4">
        <f t="shared" si="3"/>
        <v>71785.04763403481</v>
      </c>
      <c r="H28" s="4">
        <f t="shared" si="4"/>
        <v>7246.6441669355172</v>
      </c>
    </row>
    <row r="29" spans="1:8" x14ac:dyDescent="0.3">
      <c r="A29">
        <f t="shared" si="0"/>
        <v>83</v>
      </c>
      <c r="B29" s="3">
        <f t="shared" si="1"/>
        <v>5.5599173134922387E-2</v>
      </c>
      <c r="C29">
        <f t="shared" si="2"/>
        <v>0.62920938165401374</v>
      </c>
      <c r="D29" s="4">
        <f>D28*(1+Inputs!$C$9)</f>
        <v>111570.80074002393</v>
      </c>
      <c r="E29">
        <f>A29- Inputs!$C$3</f>
        <v>48</v>
      </c>
      <c r="F29">
        <f>1/(1+ Inputs!$C$10)^E29</f>
        <v>9.6142108987049613E-2</v>
      </c>
      <c r="G29" s="4">
        <f t="shared" si="3"/>
        <v>70201.394544273629</v>
      </c>
      <c r="H29" s="4">
        <f t="shared" si="4"/>
        <v>6749.310125318425</v>
      </c>
    </row>
    <row r="30" spans="1:8" x14ac:dyDescent="0.3">
      <c r="A30">
        <f t="shared" si="0"/>
        <v>84</v>
      </c>
      <c r="B30" s="3">
        <f t="shared" si="1"/>
        <v>6.1159090448414631E-2</v>
      </c>
      <c r="C30">
        <f t="shared" si="2"/>
        <v>0.59422586030531477</v>
      </c>
      <c r="D30" s="4">
        <f>D29*(1+Inputs!$C$9)</f>
        <v>114917.92476222465</v>
      </c>
      <c r="E30">
        <f>A30- Inputs!$C$3</f>
        <v>49</v>
      </c>
      <c r="F30">
        <f>1/(1+ Inputs!$C$10)^E30</f>
        <v>9.1563913320999626E-2</v>
      </c>
      <c r="G30" s="4">
        <f t="shared" si="3"/>
        <v>68287.20270633437</v>
      </c>
      <c r="H30" s="4">
        <f t="shared" si="4"/>
        <v>6252.6435095363313</v>
      </c>
    </row>
    <row r="31" spans="1:8" x14ac:dyDescent="0.3">
      <c r="A31">
        <f t="shared" si="0"/>
        <v>85</v>
      </c>
      <c r="B31" s="3">
        <f t="shared" si="1"/>
        <v>6.7274999493256105E-2</v>
      </c>
      <c r="C31">
        <f t="shared" si="2"/>
        <v>0.55788354716811506</v>
      </c>
      <c r="D31" s="4">
        <f>D30*(1+Inputs!$C$9)</f>
        <v>118365.46250509139</v>
      </c>
      <c r="E31">
        <f>A31- Inputs!$C$3</f>
        <v>50</v>
      </c>
      <c r="F31">
        <f>1/(1+ Inputs!$C$10)^E31</f>
        <v>8.7203726972380588E-2</v>
      </c>
      <c r="G31" s="4">
        <f t="shared" si="3"/>
        <v>66034.144084534913</v>
      </c>
      <c r="H31" s="4">
        <f t="shared" si="4"/>
        <v>5758.4234716026231</v>
      </c>
    </row>
    <row r="32" spans="1:8" x14ac:dyDescent="0.3">
      <c r="H32" s="4">
        <f>SUM(H11:H31)</f>
        <v>222095.2294748681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AACD-9FA7-4CF3-84A3-BCCAE890E945}">
  <dimension ref="A1:G77"/>
  <sheetViews>
    <sheetView topLeftCell="A54" workbookViewId="0">
      <selection activeCell="F65" sqref="F65"/>
    </sheetView>
  </sheetViews>
  <sheetFormatPr defaultRowHeight="14.4" x14ac:dyDescent="0.3"/>
  <cols>
    <col min="1" max="1" width="24.5546875" customWidth="1"/>
    <col min="2" max="2" width="14.21875" bestFit="1" customWidth="1"/>
    <col min="3" max="5" width="16.33203125" bestFit="1" customWidth="1"/>
    <col min="6" max="6" width="15.88671875" bestFit="1" customWidth="1"/>
    <col min="7" max="7" width="12.77734375" customWidth="1"/>
  </cols>
  <sheetData>
    <row r="1" spans="1:6" ht="18" x14ac:dyDescent="0.35">
      <c r="A1" s="10" t="s">
        <v>25</v>
      </c>
    </row>
    <row r="3" spans="1:6" x14ac:dyDescent="0.3">
      <c r="A3" s="1" t="s">
        <v>6</v>
      </c>
      <c r="B3" s="1" t="s">
        <v>26</v>
      </c>
      <c r="C3" s="1" t="s">
        <v>27</v>
      </c>
      <c r="D3" s="25" t="s">
        <v>28</v>
      </c>
    </row>
    <row r="4" spans="1:6" x14ac:dyDescent="0.3">
      <c r="A4" s="9">
        <v>0.03</v>
      </c>
      <c r="B4" s="4">
        <v>467444.42437979812</v>
      </c>
      <c r="C4" s="4">
        <f>B4-$B$6</f>
        <v>245349.19490493002</v>
      </c>
      <c r="D4" s="2">
        <f>C4/$B$6 *100</f>
        <v>110.47026785989264</v>
      </c>
    </row>
    <row r="5" spans="1:6" x14ac:dyDescent="0.3">
      <c r="A5" s="9">
        <v>0.04</v>
      </c>
      <c r="B5" s="4">
        <v>321120.67449820286</v>
      </c>
      <c r="C5" s="4">
        <f t="shared" ref="C5:C8" si="0">B5-$B$6</f>
        <v>99025.44502333476</v>
      </c>
      <c r="D5" s="2">
        <f t="shared" ref="D5:D8" si="1">C5/$B$6 *100</f>
        <v>44.586930235951016</v>
      </c>
    </row>
    <row r="6" spans="1:6" x14ac:dyDescent="0.3">
      <c r="A6" s="23" t="s">
        <v>52</v>
      </c>
      <c r="B6" s="4">
        <v>222095.2294748681</v>
      </c>
      <c r="C6" s="4">
        <f t="shared" si="0"/>
        <v>0</v>
      </c>
      <c r="D6" s="2">
        <f t="shared" si="1"/>
        <v>0</v>
      </c>
    </row>
    <row r="7" spans="1:6" x14ac:dyDescent="0.3">
      <c r="A7" s="9">
        <v>0.06</v>
      </c>
      <c r="B7" s="4">
        <v>154615.51914154686</v>
      </c>
      <c r="C7" s="4">
        <f t="shared" si="0"/>
        <v>-67479.710333321244</v>
      </c>
      <c r="D7" s="2">
        <f t="shared" si="1"/>
        <v>-30.383232675854089</v>
      </c>
    </row>
    <row r="8" spans="1:6" x14ac:dyDescent="0.3">
      <c r="A8" s="9">
        <v>7.0000000000000007E-2</v>
      </c>
      <c r="B8" s="4">
        <v>108322.66447368411</v>
      </c>
      <c r="C8" s="4">
        <f t="shared" si="0"/>
        <v>-113772.56500118399</v>
      </c>
      <c r="D8" s="2">
        <f t="shared" si="1"/>
        <v>-51.226928768435478</v>
      </c>
    </row>
    <row r="14" spans="1:6" ht="18" x14ac:dyDescent="0.35">
      <c r="A14" s="10" t="s">
        <v>29</v>
      </c>
    </row>
    <row r="15" spans="1:6" ht="18" x14ac:dyDescent="0.35">
      <c r="A15" s="10"/>
    </row>
    <row r="16" spans="1:6" x14ac:dyDescent="0.3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27</v>
      </c>
      <c r="F16" s="24" t="s">
        <v>28</v>
      </c>
    </row>
    <row r="17" spans="1:7" x14ac:dyDescent="0.3">
      <c r="A17" s="9">
        <v>0.01</v>
      </c>
      <c r="B17" s="4">
        <v>80870.934919974374</v>
      </c>
      <c r="C17" s="4">
        <f>B17 * Inputs!$C$11 * Inputs!$C$15</f>
        <v>36391.920713988467</v>
      </c>
      <c r="D17" s="4">
        <v>105340.16440815097</v>
      </c>
      <c r="E17" s="4">
        <f>D17-$D$19</f>
        <v>-116755.06506671713</v>
      </c>
      <c r="F17" s="2">
        <f>E17/$D$19 *100</f>
        <v>-52.56982121713196</v>
      </c>
    </row>
    <row r="18" spans="1:7" x14ac:dyDescent="0.3">
      <c r="A18" s="9">
        <v>0.02</v>
      </c>
      <c r="B18" s="4">
        <v>108681.6950462012</v>
      </c>
      <c r="C18" s="4">
        <f>B18 * Inputs!$C$11 * Inputs!$C$15</f>
        <v>48906.762770790541</v>
      </c>
      <c r="D18" s="4">
        <v>152992.14399856579</v>
      </c>
      <c r="E18" s="4">
        <f t="shared" ref="E18:E21" si="2">D18-$D$19</f>
        <v>-69103.085476302309</v>
      </c>
      <c r="F18" s="2">
        <f t="shared" ref="F18:F21" si="3">E18/$D$19 *100</f>
        <v>-31.11416919656164</v>
      </c>
    </row>
    <row r="19" spans="1:7" x14ac:dyDescent="0.3">
      <c r="A19" s="23" t="s">
        <v>53</v>
      </c>
      <c r="B19" s="4">
        <v>145635.74827137953</v>
      </c>
      <c r="C19" s="4">
        <f>B19 * Inputs!$C$11 * Inputs!$C$15</f>
        <v>65536.086722120788</v>
      </c>
      <c r="D19" s="4">
        <v>222095.2294748681</v>
      </c>
      <c r="E19" s="4">
        <f t="shared" si="2"/>
        <v>0</v>
      </c>
      <c r="F19" s="2">
        <f t="shared" si="3"/>
        <v>0</v>
      </c>
    </row>
    <row r="20" spans="1:7" x14ac:dyDescent="0.3">
      <c r="A20" s="9">
        <v>0.04</v>
      </c>
      <c r="B20" s="4">
        <v>194603.85060165255</v>
      </c>
      <c r="C20" s="4">
        <f>B20 * Inputs!$C$11 * Inputs!$C$15</f>
        <v>87571.732770743649</v>
      </c>
      <c r="D20" s="4">
        <v>322271.61956899491</v>
      </c>
      <c r="E20" s="4">
        <f t="shared" si="2"/>
        <v>100176.39009412681</v>
      </c>
      <c r="F20" s="2">
        <f t="shared" si="3"/>
        <v>45.105151664440676</v>
      </c>
    </row>
    <row r="21" spans="1:7" x14ac:dyDescent="0.3">
      <c r="A21" s="9">
        <v>0.05</v>
      </c>
      <c r="B21" s="4">
        <v>259316.54250903975</v>
      </c>
      <c r="C21" s="4">
        <f>B21 * Inputs!$C$11 * Inputs!$C$15</f>
        <v>116692.44412906788</v>
      </c>
      <c r="D21" s="4">
        <v>467444.42437979806</v>
      </c>
      <c r="E21" s="4">
        <f t="shared" si="2"/>
        <v>245349.19490492996</v>
      </c>
      <c r="F21" s="2">
        <f t="shared" si="3"/>
        <v>110.4702678598926</v>
      </c>
    </row>
    <row r="27" spans="1:7" ht="18" x14ac:dyDescent="0.35">
      <c r="A27" s="10" t="s">
        <v>34</v>
      </c>
    </row>
    <row r="29" spans="1:7" x14ac:dyDescent="0.3">
      <c r="A29" s="1" t="s">
        <v>2</v>
      </c>
      <c r="B29" s="1" t="s">
        <v>35</v>
      </c>
      <c r="C29" s="1" t="s">
        <v>31</v>
      </c>
      <c r="D29" s="1" t="s">
        <v>32</v>
      </c>
      <c r="E29" s="1" t="s">
        <v>33</v>
      </c>
      <c r="F29" s="1" t="s">
        <v>27</v>
      </c>
      <c r="G29" s="1" t="s">
        <v>28</v>
      </c>
    </row>
    <row r="30" spans="1:7" x14ac:dyDescent="0.3">
      <c r="A30">
        <v>63</v>
      </c>
      <c r="B30">
        <f>A30-Inputs!$C$3</f>
        <v>28</v>
      </c>
      <c r="C30" s="4">
        <v>137275.66054423561</v>
      </c>
      <c r="D30" s="4">
        <f>C30* Inputs!$C$11 * Inputs!$C$15</f>
        <v>61774.047244906018</v>
      </c>
      <c r="E30" s="4">
        <v>215417.09032862607</v>
      </c>
      <c r="F30" s="4">
        <f>E30-$E$32</f>
        <v>-6678.1391462420288</v>
      </c>
      <c r="G30" s="2">
        <f>F30/$E$32 *100</f>
        <v>-3.0068809501366238</v>
      </c>
    </row>
    <row r="31" spans="1:7" x14ac:dyDescent="0.3">
      <c r="A31">
        <v>64</v>
      </c>
      <c r="B31">
        <f>A31-Inputs!$C$3</f>
        <v>29</v>
      </c>
      <c r="C31" s="4">
        <v>141393.93036056266</v>
      </c>
      <c r="D31" s="4">
        <f>C31* Inputs!$C$11 * Inputs!$C$15</f>
        <v>63627.268662253198</v>
      </c>
      <c r="E31" s="4">
        <v>218860.83292911758</v>
      </c>
      <c r="F31" s="4">
        <f t="shared" ref="F31:F34" si="4">E31-$E$32</f>
        <v>-3234.3965457505255</v>
      </c>
      <c r="G31" s="2">
        <f t="shared" ref="G31:G34" si="5">F31/$E$32 *100</f>
        <v>-1.4563106796116592</v>
      </c>
    </row>
    <row r="32" spans="1:7" x14ac:dyDescent="0.3">
      <c r="A32">
        <v>65</v>
      </c>
      <c r="B32">
        <f>A32-Inputs!$C$3</f>
        <v>30</v>
      </c>
      <c r="C32" s="4">
        <v>145635.74827137953</v>
      </c>
      <c r="D32" s="4">
        <f>C32* Inputs!$C$11 * Inputs!$C$15</f>
        <v>65536.086722120788</v>
      </c>
      <c r="E32" s="4">
        <v>222095.2294748681</v>
      </c>
      <c r="F32" s="4">
        <f t="shared" si="4"/>
        <v>0</v>
      </c>
      <c r="G32" s="2">
        <f t="shared" si="5"/>
        <v>0</v>
      </c>
    </row>
    <row r="33" spans="1:7" x14ac:dyDescent="0.3">
      <c r="A33">
        <v>66</v>
      </c>
      <c r="B33">
        <f>A33-Inputs!$C$3</f>
        <v>31</v>
      </c>
      <c r="C33" s="4">
        <v>150004.82071952097</v>
      </c>
      <c r="D33" s="4">
        <f>C33* Inputs!$C$11 * Inputs!$C$15</f>
        <v>67502.16932378443</v>
      </c>
      <c r="E33" s="4">
        <v>225127.00562325522</v>
      </c>
      <c r="F33" s="4">
        <f t="shared" si="4"/>
        <v>3031.7761483871145</v>
      </c>
      <c r="G33" s="2">
        <f t="shared" si="5"/>
        <v>1.3650793650793769</v>
      </c>
    </row>
    <row r="34" spans="1:7" x14ac:dyDescent="0.3">
      <c r="A34">
        <v>67</v>
      </c>
      <c r="B34">
        <f>A34-Inputs!$C$3</f>
        <v>32</v>
      </c>
      <c r="C34" s="4">
        <v>154504.96534110655</v>
      </c>
      <c r="D34" s="4">
        <f>C34* Inputs!$C$11 * Inputs!$C$15</f>
        <v>69527.234403497947</v>
      </c>
      <c r="E34" s="4">
        <v>227962.70676935455</v>
      </c>
      <c r="F34" s="4">
        <f t="shared" si="4"/>
        <v>5867.4772944864526</v>
      </c>
      <c r="G34" s="2">
        <f t="shared" si="5"/>
        <v>2.6418745275888087</v>
      </c>
    </row>
    <row r="40" spans="1:7" ht="18" x14ac:dyDescent="0.35">
      <c r="A40" s="10" t="s">
        <v>36</v>
      </c>
    </row>
    <row r="42" spans="1:7" x14ac:dyDescent="0.3">
      <c r="A42" s="1" t="s">
        <v>37</v>
      </c>
      <c r="B42" s="1" t="s">
        <v>26</v>
      </c>
      <c r="C42" s="1" t="s">
        <v>27</v>
      </c>
      <c r="D42" s="1" t="s">
        <v>28</v>
      </c>
    </row>
    <row r="43" spans="1:7" x14ac:dyDescent="0.3">
      <c r="A43" s="12" t="s">
        <v>39</v>
      </c>
      <c r="B43" s="4">
        <v>225790.90035765222</v>
      </c>
      <c r="C43" s="4">
        <f>B43-$B$44</f>
        <v>3695.6708827841212</v>
      </c>
      <c r="D43" s="2">
        <f>C43/$B$44 *100</f>
        <v>1.6640028205568984</v>
      </c>
    </row>
    <row r="44" spans="1:7" x14ac:dyDescent="0.3">
      <c r="A44" s="11">
        <v>0</v>
      </c>
      <c r="B44" s="4">
        <v>222095.2294748681</v>
      </c>
      <c r="C44" s="4">
        <f t="shared" ref="C44:C45" si="6">B44-$B$44</f>
        <v>0</v>
      </c>
      <c r="D44" s="2">
        <f t="shared" ref="D44:D45" si="7">C44/$B$44 *100</f>
        <v>0</v>
      </c>
    </row>
    <row r="45" spans="1:7" x14ac:dyDescent="0.3">
      <c r="A45" s="12" t="s">
        <v>38</v>
      </c>
      <c r="B45" s="4">
        <v>218505.8312076671</v>
      </c>
      <c r="C45" s="4">
        <f t="shared" si="6"/>
        <v>-3589.3982672010025</v>
      </c>
      <c r="D45" s="2">
        <f t="shared" si="7"/>
        <v>-1.6161527988187481</v>
      </c>
    </row>
    <row r="51" spans="1:5" ht="18" x14ac:dyDescent="0.35">
      <c r="A51" s="10" t="s">
        <v>40</v>
      </c>
    </row>
    <row r="53" spans="1:5" x14ac:dyDescent="0.3">
      <c r="A53" s="1" t="s">
        <v>41</v>
      </c>
      <c r="B53" s="1" t="s">
        <v>32</v>
      </c>
      <c r="C53" s="1" t="s">
        <v>33</v>
      </c>
      <c r="D53" s="1" t="s">
        <v>27</v>
      </c>
      <c r="E53" s="1" t="s">
        <v>28</v>
      </c>
    </row>
    <row r="54" spans="1:5" x14ac:dyDescent="0.3">
      <c r="A54" s="13" t="s">
        <v>42</v>
      </c>
      <c r="B54" s="4">
        <v>58982.478049908706</v>
      </c>
      <c r="C54" s="4">
        <v>199885.70652738132</v>
      </c>
      <c r="D54" s="4">
        <f>C54-$C$55</f>
        <v>-22209.522947486781</v>
      </c>
      <c r="E54">
        <f>D54/$C$55 *100</f>
        <v>-9.9999999999999858</v>
      </c>
    </row>
    <row r="55" spans="1:5" x14ac:dyDescent="0.3">
      <c r="A55" s="14">
        <v>1.4999999999999999E-2</v>
      </c>
      <c r="B55" s="4">
        <v>65536.086722120788</v>
      </c>
      <c r="C55" s="4">
        <v>222095.2294748681</v>
      </c>
      <c r="D55" s="4">
        <f t="shared" ref="D55:D56" si="8">C55-$C$55</f>
        <v>0</v>
      </c>
      <c r="E55">
        <f t="shared" ref="E55:E56" si="9">D55/$C$55 *100</f>
        <v>0</v>
      </c>
    </row>
    <row r="56" spans="1:5" x14ac:dyDescent="0.3">
      <c r="A56" s="13" t="s">
        <v>43</v>
      </c>
      <c r="B56" s="4">
        <v>72089.69539433287</v>
      </c>
      <c r="C56" s="4">
        <v>244304.75242235497</v>
      </c>
      <c r="D56" s="4">
        <f t="shared" si="8"/>
        <v>22209.522947486868</v>
      </c>
      <c r="E56">
        <f t="shared" si="9"/>
        <v>10.000000000000025</v>
      </c>
    </row>
    <row r="62" spans="1:5" ht="18" x14ac:dyDescent="0.35">
      <c r="A62" s="10" t="s">
        <v>44</v>
      </c>
    </row>
    <row r="64" spans="1:5" x14ac:dyDescent="0.3">
      <c r="A64" s="1" t="s">
        <v>45</v>
      </c>
      <c r="B64" s="1" t="s">
        <v>46</v>
      </c>
      <c r="C64" s="1" t="s">
        <v>47</v>
      </c>
      <c r="D64" s="1" t="s">
        <v>48</v>
      </c>
      <c r="E64" s="1" t="s">
        <v>51</v>
      </c>
    </row>
    <row r="65" spans="1:5" x14ac:dyDescent="0.3">
      <c r="A65" t="s">
        <v>6</v>
      </c>
      <c r="B65" s="4">
        <f>B8</f>
        <v>108322.66447368411</v>
      </c>
      <c r="C65" s="4">
        <f>B6</f>
        <v>222095.2294748681</v>
      </c>
      <c r="D65" s="4">
        <f>B4</f>
        <v>467444.42437979812</v>
      </c>
      <c r="E65" s="4">
        <f>D65-B65</f>
        <v>359121.75990611402</v>
      </c>
    </row>
    <row r="66" spans="1:5" x14ac:dyDescent="0.3">
      <c r="A66" t="s">
        <v>30</v>
      </c>
      <c r="B66" s="4">
        <f>D17</f>
        <v>105340.16440815097</v>
      </c>
      <c r="C66" s="4">
        <f>D19</f>
        <v>222095.2294748681</v>
      </c>
      <c r="D66" s="4">
        <f>D21</f>
        <v>467444.42437979806</v>
      </c>
      <c r="E66" s="4">
        <f>D66-B66</f>
        <v>362104.25997164706</v>
      </c>
    </row>
    <row r="67" spans="1:5" x14ac:dyDescent="0.3">
      <c r="A67" t="s">
        <v>49</v>
      </c>
      <c r="B67" s="4">
        <f>C54</f>
        <v>199885.70652738132</v>
      </c>
      <c r="C67" s="4">
        <f>C55</f>
        <v>222095.2294748681</v>
      </c>
      <c r="D67" s="4">
        <f>C56</f>
        <v>244304.75242235497</v>
      </c>
      <c r="E67" s="4">
        <f>D67-B67</f>
        <v>44419.045894973649</v>
      </c>
    </row>
    <row r="68" spans="1:5" x14ac:dyDescent="0.3">
      <c r="A68" t="s">
        <v>2</v>
      </c>
      <c r="B68" s="4">
        <f>E30</f>
        <v>215417.09032862607</v>
      </c>
      <c r="C68" s="4">
        <f>E32</f>
        <v>222095.2294748681</v>
      </c>
      <c r="D68" s="4">
        <f>E34</f>
        <v>227962.70676935455</v>
      </c>
      <c r="E68" s="4">
        <f>D68-B68</f>
        <v>12545.616440728481</v>
      </c>
    </row>
    <row r="69" spans="1:5" x14ac:dyDescent="0.3">
      <c r="A69" t="s">
        <v>50</v>
      </c>
      <c r="B69" s="4">
        <f>B45</f>
        <v>218505.8312076671</v>
      </c>
      <c r="C69" s="4">
        <f>B44</f>
        <v>222095.2294748681</v>
      </c>
      <c r="D69" s="4">
        <f>B43</f>
        <v>225790.90035765222</v>
      </c>
      <c r="E69" s="4">
        <f>D69-B69</f>
        <v>7285.0691499851237</v>
      </c>
    </row>
    <row r="72" spans="1:5" x14ac:dyDescent="0.3">
      <c r="A72" s="1" t="s">
        <v>45</v>
      </c>
      <c r="B72" s="1" t="s">
        <v>54</v>
      </c>
      <c r="C72" s="1" t="s">
        <v>55</v>
      </c>
    </row>
    <row r="73" spans="1:5" x14ac:dyDescent="0.3">
      <c r="A73" t="s">
        <v>6</v>
      </c>
      <c r="B73" s="4">
        <f>B65-C65</f>
        <v>-113772.56500118399</v>
      </c>
      <c r="C73" s="4">
        <f>D65-C65</f>
        <v>245349.19490493002</v>
      </c>
    </row>
    <row r="74" spans="1:5" x14ac:dyDescent="0.3">
      <c r="A74" t="s">
        <v>30</v>
      </c>
      <c r="B74" s="4">
        <f>B66-C66</f>
        <v>-116755.06506671713</v>
      </c>
      <c r="C74" s="4">
        <f t="shared" ref="C74:C77" si="10">D66-C66</f>
        <v>245349.19490492996</v>
      </c>
    </row>
    <row r="75" spans="1:5" x14ac:dyDescent="0.3">
      <c r="A75" t="s">
        <v>49</v>
      </c>
      <c r="B75" s="4">
        <f>B67-C67</f>
        <v>-22209.522947486781</v>
      </c>
      <c r="C75" s="4">
        <f t="shared" si="10"/>
        <v>22209.522947486868</v>
      </c>
    </row>
    <row r="76" spans="1:5" x14ac:dyDescent="0.3">
      <c r="A76" t="s">
        <v>2</v>
      </c>
      <c r="B76" s="4">
        <f>B68-C68</f>
        <v>-6678.1391462420288</v>
      </c>
      <c r="C76" s="4">
        <f t="shared" si="10"/>
        <v>5867.4772944864526</v>
      </c>
    </row>
    <row r="77" spans="1:5" x14ac:dyDescent="0.3">
      <c r="A77" t="s">
        <v>50</v>
      </c>
      <c r="B77" s="4">
        <f>B69-C69</f>
        <v>-3589.3982672010025</v>
      </c>
      <c r="C77" s="4">
        <f t="shared" si="10"/>
        <v>3695.6708827841212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C3D5-676E-4750-B4B0-3E6A29516E2D}">
  <dimension ref="B1:Q8"/>
  <sheetViews>
    <sheetView topLeftCell="A2" workbookViewId="0">
      <selection activeCell="V15" sqref="V15"/>
    </sheetView>
  </sheetViews>
  <sheetFormatPr defaultRowHeight="14.4" x14ac:dyDescent="0.3"/>
  <sheetData>
    <row r="1" spans="2:17" ht="14.4" customHeight="1" x14ac:dyDescent="0.3">
      <c r="B1" s="15" t="s">
        <v>56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2:17" x14ac:dyDescent="0.3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2:17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2:17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2:17" ht="14.4" customHeight="1" x14ac:dyDescent="0.3">
      <c r="B5" s="16" t="s">
        <v>57</v>
      </c>
      <c r="C5" s="16"/>
    </row>
    <row r="6" spans="2:17" x14ac:dyDescent="0.3">
      <c r="B6" s="16"/>
      <c r="C6" s="16"/>
    </row>
    <row r="7" spans="2:17" x14ac:dyDescent="0.3">
      <c r="B7" s="16"/>
      <c r="C7" s="16"/>
    </row>
    <row r="8" spans="2:17" x14ac:dyDescent="0.3">
      <c r="B8" s="16"/>
      <c r="C8" s="16"/>
    </row>
  </sheetData>
  <mergeCells count="2">
    <mergeCell ref="B1:Q4"/>
    <mergeCell ref="B5: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F1C6-CB6A-4FEA-AE5E-8680C9255E3A}">
  <dimension ref="A1:W46"/>
  <sheetViews>
    <sheetView topLeftCell="A34" workbookViewId="0">
      <selection activeCell="E48" sqref="E48"/>
    </sheetView>
  </sheetViews>
  <sheetFormatPr defaultRowHeight="14.4" x14ac:dyDescent="0.3"/>
  <sheetData>
    <row r="1" spans="1:23" x14ac:dyDescent="0.3">
      <c r="A1" s="21" t="s">
        <v>58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3" x14ac:dyDescent="0.3">
      <c r="A5" s="20" t="s">
        <v>66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7" spans="1:23" x14ac:dyDescent="0.3">
      <c r="A7" s="1" t="s">
        <v>59</v>
      </c>
    </row>
    <row r="8" spans="1:23" ht="15" customHeight="1" x14ac:dyDescent="0.3">
      <c r="A8" s="19" t="s">
        <v>60</v>
      </c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23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23" x14ac:dyDescent="0.3">
      <c r="A10" s="17" t="s">
        <v>61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2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23" x14ac:dyDescent="0.3">
      <c r="A12" s="19" t="s">
        <v>62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23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23" x14ac:dyDescent="0.3">
      <c r="A14" s="19" t="s">
        <v>63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23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23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3">
      <c r="A17" s="19" t="s">
        <v>64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3">
      <c r="A19" s="19" t="s">
        <v>65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3" spans="1:11" x14ac:dyDescent="0.3">
      <c r="A23" s="1" t="s">
        <v>67</v>
      </c>
    </row>
    <row r="24" spans="1:11" x14ac:dyDescent="0.3">
      <c r="A24" s="17" t="s">
        <v>68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3">
      <c r="A26" s="17" t="s">
        <v>69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3">
      <c r="A28" s="17" t="s">
        <v>70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x14ac:dyDescent="0.3">
      <c r="A30" s="17" t="s">
        <v>71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4" spans="1:11" x14ac:dyDescent="0.3">
      <c r="A34" s="1" t="s">
        <v>72</v>
      </c>
    </row>
    <row r="35" spans="1:11" x14ac:dyDescent="0.3">
      <c r="A35" s="19" t="s">
        <v>73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2" spans="1:11" x14ac:dyDescent="0.3">
      <c r="A42" s="1" t="s">
        <v>74</v>
      </c>
    </row>
    <row r="43" spans="1:11" x14ac:dyDescent="0.3">
      <c r="A43" t="s">
        <v>75</v>
      </c>
    </row>
    <row r="44" spans="1:11" x14ac:dyDescent="0.3">
      <c r="A44" t="s">
        <v>76</v>
      </c>
    </row>
    <row r="45" spans="1:11" x14ac:dyDescent="0.3">
      <c r="A45" t="s">
        <v>77</v>
      </c>
    </row>
    <row r="46" spans="1:11" x14ac:dyDescent="0.3">
      <c r="A46" t="s">
        <v>78</v>
      </c>
    </row>
  </sheetData>
  <mergeCells count="13">
    <mergeCell ref="A1:W3"/>
    <mergeCell ref="A5:K5"/>
    <mergeCell ref="A8:K9"/>
    <mergeCell ref="A10:K11"/>
    <mergeCell ref="A12:K13"/>
    <mergeCell ref="A30:K31"/>
    <mergeCell ref="A35:K39"/>
    <mergeCell ref="A14:K16"/>
    <mergeCell ref="A17:K18"/>
    <mergeCell ref="A19:K20"/>
    <mergeCell ref="A24:K25"/>
    <mergeCell ref="A26:K27"/>
    <mergeCell ref="A28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Calculations</vt:lpstr>
      <vt:lpstr>Sensitivity</vt:lpstr>
      <vt:lpstr>Charts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Khurana</dc:creator>
  <cp:lastModifiedBy>Lavanya Khurana</cp:lastModifiedBy>
  <dcterms:created xsi:type="dcterms:W3CDTF">2025-11-14T04:28:38Z</dcterms:created>
  <dcterms:modified xsi:type="dcterms:W3CDTF">2025-11-20T23:25:39Z</dcterms:modified>
</cp:coreProperties>
</file>